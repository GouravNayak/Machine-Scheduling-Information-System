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ura\OneDrive\Desktop\"/>
    </mc:Choice>
  </mc:AlternateContent>
  <xr:revisionPtr revIDLastSave="732" documentId="8_{FF2F5AE7-E909-4184-ABF9-EE3B5FAC3329}" xr6:coauthVersionLast="45" xr6:coauthVersionMax="45" xr10:uidLastSave="{AF3F3EAF-ABDF-43F4-9023-AB8B215ACCFA}"/>
  <bookViews>
    <workbookView xWindow="-108" yWindow="-108" windowWidth="23256" windowHeight="12576" xr2:uid="{00000000-000D-0000-FFFF-FFFF00000000}"/>
  </bookViews>
  <sheets>
    <sheet name="Sheet1" sheetId="1" r:id="rId1"/>
    <sheet name="Answer Sheet" sheetId="17" state="hidden" r:id="rId2"/>
  </sheets>
  <functionGroups builtInGroupCount="19"/>
  <definedNames>
    <definedName name="_xlnm._FilterDatabase" localSheetId="0" hidden="1">Sheet1!$A$1:$I$12</definedName>
    <definedName name="DemandA" localSheetId="0">Sheet1!$D$31</definedName>
    <definedName name="DemandB" localSheetId="0">Sheet1!$D$32</definedName>
    <definedName name="DemandConstraintA" localSheetId="0">Sheet1!$F$31</definedName>
    <definedName name="DemandConstraintB" localSheetId="0">Sheet1!$F$32</definedName>
    <definedName name="FinalQuantityA1" localSheetId="0">Sheet1!$D$15</definedName>
    <definedName name="FinalQuantityA1">Sheet1!$D$15</definedName>
    <definedName name="FinalQuantityA2" localSheetId="0">Sheet1!$D$16</definedName>
    <definedName name="FinalQuantityB1">Sheet1!$D$17</definedName>
    <definedName name="FinalQuantityB2">Sheet1!$D$18</definedName>
    <definedName name="FinalQuantityB3">Sheet1!$D$19</definedName>
    <definedName name="MachineTimeAvailable1" localSheetId="0">Sheet1!$F$25</definedName>
    <definedName name="MachineTimeAvailable2" localSheetId="0">Sheet1!$F$26</definedName>
    <definedName name="MachineTimeAvailable3" localSheetId="0">Sheet1!$F$27</definedName>
    <definedName name="MachineTimeUtilize1" localSheetId="0">Sheet1!$D$25</definedName>
    <definedName name="MachineTimeUtilize2" localSheetId="0">Sheet1!$D$26</definedName>
    <definedName name="MachineTimeUtilize3" localSheetId="0">Sheet1!$D$27</definedName>
    <definedName name="ObjectiveFunction" localSheetId="0">Sheet1!$D$36</definedName>
    <definedName name="Option1A" localSheetId="0">Sheet1!$E$5:$G$5</definedName>
    <definedName name="Option1B" localSheetId="0">Sheet1!$E$7:$G$7</definedName>
    <definedName name="Option2A" localSheetId="0">Sheet1!$E$6:$G$6</definedName>
    <definedName name="Option2B" localSheetId="0">Sheet1!$E$8:$G$8</definedName>
    <definedName name="Option3B">Sheet1!$E$9:$G$9</definedName>
    <definedName name="solver_adj" localSheetId="0" hidden="1">Sheet1!$D$15:$D$19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Sheet1!$D$25:$D$27</definedName>
    <definedName name="solver_lhs10" localSheetId="0" hidden="1">Sheet1!$D$25:$D$27</definedName>
    <definedName name="solver_lhs11" localSheetId="0" hidden="1">Sheet1!$D$31:$D$32</definedName>
    <definedName name="solver_lhs12" localSheetId="0" hidden="1">Sheet1!$D$15:$D$19</definedName>
    <definedName name="solver_lhs2" localSheetId="0" hidden="1">Sheet1!$D$31:$D$32</definedName>
    <definedName name="solver_lhs3" localSheetId="0" hidden="1">Sheet1!$D$15:$D$19</definedName>
    <definedName name="solver_lhs4" localSheetId="0" hidden="1">Sheet1!$D$25:$D$27</definedName>
    <definedName name="solver_lhs5" localSheetId="0" hidden="1">Sheet1!$D$31:$D$32</definedName>
    <definedName name="solver_lhs6" localSheetId="0" hidden="1">Sheet1!$D$15:$D$19</definedName>
    <definedName name="solver_lhs7" localSheetId="0" hidden="1">Sheet1!$D$25:$D$27</definedName>
    <definedName name="solver_lhs8" localSheetId="0" hidden="1">Sheet1!$D$31:$D$32</definedName>
    <definedName name="solver_lhs9" localSheetId="0" hidden="1">Sheet1!$D$15:$D$19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Sheet1!$D$36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2</definedName>
    <definedName name="solver_rel12" localSheetId="0" hidden="1">3</definedName>
    <definedName name="solver_rel2" localSheetId="0" hidden="1">2</definedName>
    <definedName name="solver_rel3" localSheetId="0" hidden="1">3</definedName>
    <definedName name="solver_rel4" localSheetId="0" hidden="1">1</definedName>
    <definedName name="solver_rel5" localSheetId="0" hidden="1">2</definedName>
    <definedName name="solver_rel6" localSheetId="0" hidden="1">3</definedName>
    <definedName name="solver_rel7" localSheetId="0" hidden="1">1</definedName>
    <definedName name="solver_rel8" localSheetId="0" hidden="1">2</definedName>
    <definedName name="solver_rel9" localSheetId="0" hidden="1">3</definedName>
    <definedName name="solver_rhs1" localSheetId="0" hidden="1">Sheet1!$F$25:$F$27</definedName>
    <definedName name="solver_rhs10" localSheetId="0" hidden="1">Sheet1!$F$25:$F$27</definedName>
    <definedName name="solver_rhs11" localSheetId="0" hidden="1">Sheet1!$F$31:$F$32</definedName>
    <definedName name="solver_rhs12" localSheetId="0" hidden="1">Sheet1!$F$15:$F$19</definedName>
    <definedName name="solver_rhs2" localSheetId="0" hidden="1">Sheet1!$F$31:$F$32</definedName>
    <definedName name="solver_rhs3" localSheetId="0" hidden="1">Sheet1!$F$15:$F$19</definedName>
    <definedName name="solver_rhs4" localSheetId="0" hidden="1">Sheet1!$F$25:$F$27</definedName>
    <definedName name="solver_rhs5" localSheetId="0" hidden="1">Sheet1!$F$31:$F$32</definedName>
    <definedName name="solver_rhs6" localSheetId="0" hidden="1">Sheet1!$F$15:$F$19</definedName>
    <definedName name="solver_rhs7" localSheetId="0" hidden="1">Sheet1!$F$25:$F$27</definedName>
    <definedName name="solver_rhs8" localSheetId="0" hidden="1">Sheet1!$F$31:$F$32</definedName>
    <definedName name="solver_rhs9" localSheetId="0" hidden="1">Sheet1!$F$15:$F$19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4" i="17" l="1"/>
  <c r="D20" i="17"/>
  <c r="D19" i="17"/>
  <c r="F15" i="17"/>
  <c r="D15" i="17"/>
  <c r="F14" i="17"/>
  <c r="D14" i="17"/>
  <c r="F13" i="17"/>
  <c r="D13" i="17"/>
  <c r="D36" i="1" l="1"/>
  <c r="D27" i="1"/>
  <c r="M44" i="1" l="1"/>
  <c r="L44" i="1"/>
  <c r="O44" i="1"/>
  <c r="O45" i="1"/>
  <c r="F27" i="1" l="1"/>
  <c r="F26" i="1"/>
  <c r="F25" i="1"/>
  <c r="D32" i="1"/>
  <c r="D31" i="1"/>
  <c r="D25" i="1"/>
  <c r="D26" i="1"/>
</calcChain>
</file>

<file path=xl/sharedStrings.xml><?xml version="1.0" encoding="utf-8"?>
<sst xmlns="http://schemas.openxmlformats.org/spreadsheetml/2006/main" count="94" uniqueCount="47">
  <si>
    <t>Machine Scheduling Information System</t>
  </si>
  <si>
    <t>A</t>
  </si>
  <si>
    <t>Option 1</t>
  </si>
  <si>
    <t>Option 2</t>
  </si>
  <si>
    <t>B</t>
  </si>
  <si>
    <t>Option 3</t>
  </si>
  <si>
    <t>Unit Production Time on machine</t>
  </si>
  <si>
    <t>Unit Cost</t>
  </si>
  <si>
    <t>Hours Available</t>
  </si>
  <si>
    <t>Decision Variables</t>
  </si>
  <si>
    <t>Units of Item A of Type 1 produced in a week</t>
  </si>
  <si>
    <t>Units of Item A of Type 2 produced in a week</t>
  </si>
  <si>
    <t>Units of Item B of Type 1 produced in a week</t>
  </si>
  <si>
    <t>Units of Item B of Type 2 produced in a week</t>
  </si>
  <si>
    <t>X1</t>
  </si>
  <si>
    <t>X2</t>
  </si>
  <si>
    <t>X3</t>
  </si>
  <si>
    <t>X4</t>
  </si>
  <si>
    <t>X5</t>
  </si>
  <si>
    <t>Constraints</t>
  </si>
  <si>
    <t>&gt;=</t>
  </si>
  <si>
    <t>Units of Item B of Type 3 produced in a week</t>
  </si>
  <si>
    <t>Machine Time Constraint</t>
  </si>
  <si>
    <t>Utilization of Machine 1</t>
  </si>
  <si>
    <t>Utilization of Machine 2</t>
  </si>
  <si>
    <t>Utilization of Machine 3</t>
  </si>
  <si>
    <t>&lt;=</t>
  </si>
  <si>
    <t>T1</t>
  </si>
  <si>
    <t>T2</t>
  </si>
  <si>
    <t>T3</t>
  </si>
  <si>
    <t>Production Requirement Constraint</t>
  </si>
  <si>
    <t>=</t>
  </si>
  <si>
    <t>Demand for Product A</t>
  </si>
  <si>
    <t>Demand for Product B</t>
  </si>
  <si>
    <t>D1</t>
  </si>
  <si>
    <t>D2</t>
  </si>
  <si>
    <t>Objective is to determine the most economical way of meeting demand</t>
  </si>
  <si>
    <t>Z</t>
  </si>
  <si>
    <t>Minimize</t>
  </si>
  <si>
    <t xml:space="preserve"> </t>
  </si>
  <si>
    <t>Total Week Time</t>
  </si>
  <si>
    <t>Minimum</t>
  </si>
  <si>
    <t>Excel Data Validation</t>
  </si>
  <si>
    <t>Validation on Machine Hours Available</t>
  </si>
  <si>
    <t>Greater than</t>
  </si>
  <si>
    <t>Validation on Unit Cost/Unit Production Time on Machine</t>
  </si>
  <si>
    <t>Greater than or Equal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</si>
</sst>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;[Red]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2" xfId="0" applyFont="1" applyBorder="1"/>
    <xf numFmtId="0" fontId="1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1" xfId="0" applyFont="1" applyBorder="1"/>
    <xf numFmtId="0" fontId="1" fillId="0" borderId="0" xfId="0" applyFont="1" applyFill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Fill="1" applyBorder="1"/>
    <xf numFmtId="0" fontId="1" fillId="0" borderId="2" xfId="0" applyFont="1" applyFill="1" applyBorder="1"/>
    <xf numFmtId="0" fontId="1" fillId="0" borderId="2" xfId="0" applyFont="1" applyBorder="1" applyAlignment="1">
      <alignment wrapText="1"/>
    </xf>
    <xf numFmtId="0" fontId="0" fillId="0" borderId="0" xfId="0" applyBorder="1"/>
    <xf numFmtId="0" fontId="0" fillId="0" borderId="3" xfId="0" applyBorder="1" applyAlignment="1">
      <alignment horizontal="center" vertical="center"/>
    </xf>
    <xf numFmtId="0" fontId="1" fillId="0" borderId="0" xfId="0" applyFont="1" applyBorder="1" applyAlignment="1">
      <alignment wrapText="1"/>
    </xf>
    <xf numFmtId="0" fontId="0" fillId="0" borderId="2" xfId="0" applyBorder="1"/>
    <xf numFmtId="0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4" borderId="0" xfId="0" applyFill="1"/>
    <xf numFmtId="0" fontId="0" fillId="4" borderId="2" xfId="0" applyFill="1" applyBorder="1"/>
    <xf numFmtId="0" fontId="0" fillId="4" borderId="0" xfId="0" applyFill="1" applyBorder="1"/>
    <xf numFmtId="0" fontId="0" fillId="4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1" fillId="0" borderId="2" xfId="0" applyFont="1" applyBorder="1" applyAlignment="1"/>
    <xf numFmtId="0" fontId="0" fillId="0" borderId="2" xfId="0" applyBorder="1" applyAlignment="1"/>
    <xf numFmtId="0" fontId="0" fillId="0" borderId="0" xfId="0" applyAlignment="1"/>
    <xf numFmtId="0" fontId="1" fillId="0" borderId="1" xfId="0" applyFont="1" applyBorder="1" applyAlignment="1"/>
    <xf numFmtId="0" fontId="0" fillId="4" borderId="0" xfId="0" applyFill="1" applyAlignment="1"/>
    <xf numFmtId="0" fontId="0" fillId="4" borderId="2" xfId="0" applyFill="1" applyBorder="1" applyAlignment="1"/>
    <xf numFmtId="0" fontId="1" fillId="0" borderId="2" xfId="0" applyFont="1" applyFill="1" applyBorder="1" applyAlignment="1"/>
    <xf numFmtId="0" fontId="0" fillId="0" borderId="0" xfId="0" applyBorder="1" applyAlignment="1"/>
    <xf numFmtId="0" fontId="0" fillId="4" borderId="0" xfId="0" applyFill="1" applyBorder="1" applyAlignment="1"/>
    <xf numFmtId="0" fontId="1" fillId="0" borderId="0" xfId="0" applyFont="1" applyFill="1" applyBorder="1" applyAlignment="1"/>
    <xf numFmtId="0" fontId="1" fillId="0" borderId="1" xfId="0" applyFont="1" applyFill="1" applyBorder="1" applyAlignment="1"/>
    <xf numFmtId="0" fontId="1" fillId="0" borderId="0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1287780</xdr:colOff>
          <xdr:row>4</xdr:row>
          <xdr:rowOff>38100</xdr:rowOff>
        </xdr:from>
        <xdr:to>
          <xdr:col>1</xdr:col>
          <xdr:colOff>1318260</xdr:colOff>
          <xdr:row>9</xdr:row>
          <xdr:rowOff>45720</xdr:rowOff>
        </xdr:to>
        <xdr:sp macro="" textlink="">
          <xdr:nvSpPr>
            <xdr:cNvPr id="1025" name="CmdUpdateDataOnSpreadShe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8"/>
  <sheetViews>
    <sheetView tabSelected="1" zoomScale="75" zoomScaleNormal="70" workbookViewId="0">
      <selection sqref="A1:D1"/>
    </sheetView>
  </sheetViews>
  <sheetFormatPr defaultColWidth="0" defaultRowHeight="14.4" zeroHeight="1" x14ac:dyDescent="0.3"/>
  <cols>
    <col min="1" max="1" width="46.44140625" customWidth="1"/>
    <col min="2" max="2" width="41.44140625" customWidth="1"/>
    <col min="3" max="3" width="12" customWidth="1"/>
    <col min="4" max="4" width="19.6640625" customWidth="1"/>
    <col min="5" max="6" width="8.88671875" customWidth="1"/>
    <col min="7" max="7" width="16.5546875" customWidth="1"/>
    <col min="8" max="8" width="16.33203125" customWidth="1"/>
    <col min="9" max="9" width="8.88671875" customWidth="1"/>
    <col min="10" max="11" width="8.88671875" hidden="1" customWidth="1"/>
    <col min="12" max="12" width="19.5546875" hidden="1" customWidth="1"/>
    <col min="13" max="13" width="22.21875" hidden="1" customWidth="1"/>
    <col min="14" max="14" width="45.21875" hidden="1" customWidth="1"/>
    <col min="15" max="24" width="8.88671875" hidden="1" customWidth="1"/>
    <col min="25" max="25" width="3.88671875" hidden="1" customWidth="1"/>
    <col min="26" max="26" width="15.77734375" hidden="1" customWidth="1"/>
    <col min="27" max="16384" width="8.88671875" hidden="1"/>
  </cols>
  <sheetData>
    <row r="1" spans="1:9" x14ac:dyDescent="0.3">
      <c r="A1" s="34" t="s">
        <v>0</v>
      </c>
      <c r="B1" s="34"/>
      <c r="C1" s="34"/>
      <c r="D1" s="34"/>
    </row>
    <row r="2" spans="1:9" x14ac:dyDescent="0.3"/>
    <row r="3" spans="1:9" x14ac:dyDescent="0.3">
      <c r="C3" s="32"/>
      <c r="D3" s="2"/>
      <c r="E3" s="32" t="s">
        <v>6</v>
      </c>
      <c r="F3" s="32"/>
      <c r="G3" s="32"/>
      <c r="H3" s="32" t="s">
        <v>7</v>
      </c>
    </row>
    <row r="4" spans="1:9" x14ac:dyDescent="0.3">
      <c r="C4" s="32"/>
      <c r="D4" s="2"/>
      <c r="E4" s="3">
        <v>1</v>
      </c>
      <c r="F4" s="3">
        <v>2</v>
      </c>
      <c r="G4" s="3">
        <v>3</v>
      </c>
      <c r="H4" s="32"/>
    </row>
    <row r="5" spans="1:9" x14ac:dyDescent="0.3">
      <c r="C5" s="32" t="s">
        <v>1</v>
      </c>
      <c r="D5" s="2" t="s">
        <v>2</v>
      </c>
      <c r="E5" s="3">
        <v>0.5</v>
      </c>
      <c r="F5" s="3">
        <v>0</v>
      </c>
      <c r="G5" s="3">
        <v>0.2</v>
      </c>
      <c r="H5" s="10">
        <v>2</v>
      </c>
    </row>
    <row r="6" spans="1:9" x14ac:dyDescent="0.3">
      <c r="C6" s="32"/>
      <c r="D6" s="2" t="s">
        <v>3</v>
      </c>
      <c r="E6" s="3">
        <v>0</v>
      </c>
      <c r="F6" s="3">
        <v>0.4</v>
      </c>
      <c r="G6" s="3">
        <v>0.2</v>
      </c>
      <c r="H6" s="10">
        <v>2</v>
      </c>
    </row>
    <row r="7" spans="1:9" x14ac:dyDescent="0.3">
      <c r="C7" s="32" t="s">
        <v>4</v>
      </c>
      <c r="D7" s="2" t="s">
        <v>2</v>
      </c>
      <c r="E7" s="3">
        <v>0.4</v>
      </c>
      <c r="F7" s="3">
        <v>0.3</v>
      </c>
      <c r="G7" s="3">
        <v>0</v>
      </c>
      <c r="H7" s="10">
        <v>3</v>
      </c>
    </row>
    <row r="8" spans="1:9" x14ac:dyDescent="0.3">
      <c r="C8" s="32"/>
      <c r="D8" s="2" t="s">
        <v>3</v>
      </c>
      <c r="E8" s="3">
        <v>0.4</v>
      </c>
      <c r="F8" s="3">
        <v>0</v>
      </c>
      <c r="G8" s="3">
        <v>0.3</v>
      </c>
      <c r="H8" s="10">
        <v>4</v>
      </c>
    </row>
    <row r="9" spans="1:9" x14ac:dyDescent="0.3">
      <c r="C9" s="32"/>
      <c r="D9" s="2" t="s">
        <v>5</v>
      </c>
      <c r="E9" s="3">
        <v>0</v>
      </c>
      <c r="F9" s="3">
        <v>0.6</v>
      </c>
      <c r="G9" s="3">
        <v>0.3</v>
      </c>
      <c r="H9" s="10">
        <v>4</v>
      </c>
    </row>
    <row r="10" spans="1:9" ht="21.75" customHeight="1" x14ac:dyDescent="0.3">
      <c r="C10" s="33" t="s">
        <v>8</v>
      </c>
      <c r="D10" s="2"/>
      <c r="E10" s="2"/>
      <c r="F10" s="2"/>
      <c r="G10" s="2"/>
      <c r="H10" s="2"/>
    </row>
    <row r="11" spans="1:9" x14ac:dyDescent="0.3">
      <c r="C11" s="33"/>
      <c r="D11" s="2"/>
      <c r="E11" s="3">
        <v>38</v>
      </c>
      <c r="F11" s="3">
        <v>31</v>
      </c>
      <c r="G11" s="3">
        <v>34</v>
      </c>
      <c r="H11" s="2"/>
    </row>
    <row r="12" spans="1:9" x14ac:dyDescent="0.3"/>
    <row r="13" spans="1:9" hidden="1" x14ac:dyDescent="0.3">
      <c r="A13" s="4" t="s">
        <v>9</v>
      </c>
      <c r="B13" s="17"/>
      <c r="C13" s="17"/>
      <c r="D13" s="17"/>
      <c r="E13" s="17"/>
      <c r="F13" s="17"/>
      <c r="G13" s="17"/>
      <c r="H13" s="17"/>
      <c r="I13" s="17"/>
    </row>
    <row r="14" spans="1:9" hidden="1" x14ac:dyDescent="0.3"/>
    <row r="15" spans="1:9" hidden="1" x14ac:dyDescent="0.3">
      <c r="B15" s="8" t="s">
        <v>10</v>
      </c>
      <c r="C15" s="3" t="s">
        <v>14</v>
      </c>
      <c r="D15" s="22">
        <v>31</v>
      </c>
      <c r="E15" s="1" t="s">
        <v>20</v>
      </c>
      <c r="F15" s="1">
        <v>0</v>
      </c>
    </row>
    <row r="16" spans="1:9" hidden="1" x14ac:dyDescent="0.3">
      <c r="A16" t="s">
        <v>39</v>
      </c>
      <c r="B16" s="8" t="s">
        <v>11</v>
      </c>
      <c r="C16" s="3" t="s">
        <v>15</v>
      </c>
      <c r="D16" s="22">
        <v>0</v>
      </c>
      <c r="E16" s="1" t="s">
        <v>20</v>
      </c>
      <c r="F16" s="1">
        <v>0</v>
      </c>
    </row>
    <row r="17" spans="1:9" hidden="1" x14ac:dyDescent="0.3">
      <c r="B17" s="8" t="s">
        <v>12</v>
      </c>
      <c r="C17" s="3" t="s">
        <v>16</v>
      </c>
      <c r="D17" s="22">
        <v>35</v>
      </c>
      <c r="E17" s="1" t="s">
        <v>20</v>
      </c>
      <c r="F17" s="1">
        <v>0</v>
      </c>
    </row>
    <row r="18" spans="1:9" hidden="1" x14ac:dyDescent="0.3">
      <c r="B18" s="8" t="s">
        <v>13</v>
      </c>
      <c r="C18" s="3" t="s">
        <v>17</v>
      </c>
      <c r="D18" s="22">
        <v>0</v>
      </c>
      <c r="E18" s="1" t="s">
        <v>20</v>
      </c>
      <c r="F18" s="1">
        <v>0</v>
      </c>
    </row>
    <row r="19" spans="1:9" hidden="1" x14ac:dyDescent="0.3">
      <c r="B19" s="8" t="s">
        <v>21</v>
      </c>
      <c r="C19" s="3" t="s">
        <v>18</v>
      </c>
      <c r="D19" s="22">
        <v>0</v>
      </c>
      <c r="E19" s="1" t="s">
        <v>20</v>
      </c>
      <c r="F19" s="1">
        <v>0</v>
      </c>
    </row>
    <row r="20" spans="1:9" hidden="1" x14ac:dyDescent="0.3">
      <c r="D20" s="23"/>
    </row>
    <row r="21" spans="1:9" hidden="1" x14ac:dyDescent="0.3">
      <c r="A21" s="4" t="s">
        <v>19</v>
      </c>
      <c r="B21" s="17"/>
      <c r="C21" s="17"/>
      <c r="D21" s="24"/>
      <c r="E21" s="17"/>
      <c r="F21" s="17"/>
      <c r="G21" s="17"/>
      <c r="H21" s="17"/>
      <c r="I21" s="17"/>
    </row>
    <row r="22" spans="1:9" hidden="1" x14ac:dyDescent="0.3">
      <c r="D22" s="23"/>
    </row>
    <row r="23" spans="1:9" hidden="1" x14ac:dyDescent="0.3">
      <c r="A23" s="12" t="s">
        <v>22</v>
      </c>
      <c r="B23" s="14"/>
      <c r="C23" s="14"/>
      <c r="D23" s="25"/>
      <c r="E23" s="14"/>
      <c r="F23" s="14"/>
      <c r="G23" s="14"/>
      <c r="H23" s="14"/>
      <c r="I23" s="14"/>
    </row>
    <row r="24" spans="1:9" hidden="1" x14ac:dyDescent="0.3">
      <c r="A24" s="9"/>
      <c r="D24" s="23"/>
    </row>
    <row r="25" spans="1:9" hidden="1" x14ac:dyDescent="0.3">
      <c r="B25" s="11" t="s">
        <v>23</v>
      </c>
      <c r="C25" s="3" t="s">
        <v>27</v>
      </c>
      <c r="D25" s="22">
        <f>SUMPRODUCT(E5:E9,D15:D19)</f>
        <v>29.5</v>
      </c>
      <c r="E25" s="1" t="s">
        <v>26</v>
      </c>
      <c r="F25" s="1">
        <f>E11</f>
        <v>38</v>
      </c>
    </row>
    <row r="26" spans="1:9" hidden="1" x14ac:dyDescent="0.3">
      <c r="B26" s="11" t="s">
        <v>24</v>
      </c>
      <c r="C26" s="3" t="s">
        <v>28</v>
      </c>
      <c r="D26" s="22">
        <f>SUMPRODUCT(F5:F9,D15:D19)</f>
        <v>10.5</v>
      </c>
      <c r="E26" s="1" t="s">
        <v>26</v>
      </c>
      <c r="F26" s="1">
        <f>F11</f>
        <v>31</v>
      </c>
    </row>
    <row r="27" spans="1:9" hidden="1" x14ac:dyDescent="0.3">
      <c r="B27" s="11" t="s">
        <v>25</v>
      </c>
      <c r="C27" s="3" t="s">
        <v>29</v>
      </c>
      <c r="D27" s="22">
        <f>SUMPRODUCT(G5:G9,D15:D19)</f>
        <v>6.2</v>
      </c>
      <c r="E27" s="1" t="s">
        <v>26</v>
      </c>
      <c r="F27" s="1">
        <f>G11</f>
        <v>34</v>
      </c>
    </row>
    <row r="28" spans="1:9" hidden="1" x14ac:dyDescent="0.3">
      <c r="C28" s="1"/>
      <c r="D28" s="26"/>
      <c r="E28" s="1"/>
      <c r="F28" s="1"/>
    </row>
    <row r="29" spans="1:9" hidden="1" x14ac:dyDescent="0.3">
      <c r="A29" s="4" t="s">
        <v>30</v>
      </c>
      <c r="B29" s="14"/>
      <c r="C29" s="6"/>
      <c r="D29" s="27"/>
      <c r="E29" s="6"/>
      <c r="F29" s="6"/>
      <c r="G29" s="14"/>
      <c r="H29" s="14"/>
      <c r="I29" s="14"/>
    </row>
    <row r="30" spans="1:9" hidden="1" x14ac:dyDescent="0.3">
      <c r="A30" s="5"/>
      <c r="C30" s="1"/>
      <c r="D30" s="26"/>
      <c r="E30" s="1"/>
      <c r="F30" s="1"/>
    </row>
    <row r="31" spans="1:9" hidden="1" x14ac:dyDescent="0.3">
      <c r="B31" s="11" t="s">
        <v>32</v>
      </c>
      <c r="C31" s="3" t="s">
        <v>34</v>
      </c>
      <c r="D31" s="22">
        <f>SUM(D15:D16)</f>
        <v>31</v>
      </c>
      <c r="E31" s="1" t="s">
        <v>31</v>
      </c>
      <c r="F31" s="18">
        <v>31</v>
      </c>
    </row>
    <row r="32" spans="1:9" hidden="1" x14ac:dyDescent="0.3">
      <c r="B32" s="11" t="s">
        <v>33</v>
      </c>
      <c r="C32" s="3" t="s">
        <v>35</v>
      </c>
      <c r="D32" s="22">
        <f>SUM(D17:D19)</f>
        <v>35</v>
      </c>
      <c r="E32" s="1" t="s">
        <v>31</v>
      </c>
      <c r="F32" s="18">
        <v>35</v>
      </c>
    </row>
    <row r="33" spans="1:15" hidden="1" x14ac:dyDescent="0.3">
      <c r="C33" s="1"/>
      <c r="D33" s="1"/>
      <c r="E33" s="1"/>
      <c r="F33" s="1"/>
    </row>
    <row r="34" spans="1:15" ht="28.8" hidden="1" x14ac:dyDescent="0.3">
      <c r="A34" s="13" t="s">
        <v>36</v>
      </c>
      <c r="B34" s="17"/>
      <c r="C34" s="17"/>
      <c r="D34" s="17"/>
      <c r="E34" s="7"/>
      <c r="F34" s="7"/>
      <c r="G34" s="17"/>
      <c r="H34" s="17"/>
      <c r="I34" s="17"/>
    </row>
    <row r="35" spans="1:15" hidden="1" x14ac:dyDescent="0.3">
      <c r="A35" s="16"/>
      <c r="B35" s="14"/>
      <c r="E35" s="1"/>
      <c r="F35" s="1"/>
    </row>
    <row r="36" spans="1:15" hidden="1" x14ac:dyDescent="0.3">
      <c r="B36" s="8" t="s">
        <v>38</v>
      </c>
      <c r="C36" s="15" t="s">
        <v>37</v>
      </c>
      <c r="D36" s="28">
        <f>SUMPRODUCT(H5:H9,D15:D19)</f>
        <v>167</v>
      </c>
    </row>
    <row r="37" spans="1:15" hidden="1" x14ac:dyDescent="0.3"/>
    <row r="38" spans="1:15" hidden="1" x14ac:dyDescent="0.3"/>
    <row r="39" spans="1:15" hidden="1" x14ac:dyDescent="0.3"/>
    <row r="40" spans="1:15" hidden="1" x14ac:dyDescent="0.3"/>
    <row r="41" spans="1:15" hidden="1" x14ac:dyDescent="0.3">
      <c r="J41" s="30" t="s">
        <v>42</v>
      </c>
      <c r="K41" s="30"/>
      <c r="L41" s="30"/>
      <c r="M41" s="30"/>
      <c r="N41" s="30"/>
      <c r="O41" s="30"/>
    </row>
    <row r="42" spans="1:15" ht="28.8" hidden="1" x14ac:dyDescent="0.3">
      <c r="L42" s="31" t="s">
        <v>43</v>
      </c>
      <c r="M42" s="31"/>
      <c r="N42" s="20" t="s">
        <v>45</v>
      </c>
    </row>
    <row r="43" spans="1:15" hidden="1" x14ac:dyDescent="0.3">
      <c r="L43" s="2" t="s">
        <v>41</v>
      </c>
      <c r="M43" s="2" t="s">
        <v>40</v>
      </c>
      <c r="N43" s="2"/>
    </row>
    <row r="44" spans="1:15" hidden="1" x14ac:dyDescent="0.3">
      <c r="L44" s="2">
        <f>0</f>
        <v>0</v>
      </c>
      <c r="M44" s="2">
        <f>((24-8)*7)</f>
        <v>112</v>
      </c>
      <c r="N44" s="10" t="s">
        <v>44</v>
      </c>
      <c r="O44">
        <f>0</f>
        <v>0</v>
      </c>
    </row>
    <row r="45" spans="1:15" hidden="1" x14ac:dyDescent="0.3">
      <c r="N45" s="21" t="s">
        <v>46</v>
      </c>
      <c r="O45">
        <f>0</f>
        <v>0</v>
      </c>
    </row>
    <row r="46" spans="1:15" hidden="1" x14ac:dyDescent="0.3">
      <c r="N46" s="19"/>
    </row>
    <row r="47" spans="1:15" hidden="1" x14ac:dyDescent="0.3">
      <c r="N47" s="19"/>
    </row>
    <row r="48" spans="1:15" hidden="1" x14ac:dyDescent="0.3">
      <c r="N48" s="19"/>
    </row>
  </sheetData>
  <mergeCells count="9">
    <mergeCell ref="J41:O41"/>
    <mergeCell ref="L42:M42"/>
    <mergeCell ref="H3:H4"/>
    <mergeCell ref="C10:C11"/>
    <mergeCell ref="A1:D1"/>
    <mergeCell ref="C5:C6"/>
    <mergeCell ref="C7:C9"/>
    <mergeCell ref="E3:G3"/>
    <mergeCell ref="C3:C4"/>
  </mergeCells>
  <dataValidations count="3">
    <dataValidation type="decimal" allowBlank="1" showInputMessage="1" showErrorMessage="1" errorTitle="Error" error="Please enter a number between 0 (If Breakdown) or 112(Maximum Machine capacity to run in a week)" sqref="E11:G11" xr:uid="{0EB6536F-5C04-49CD-834F-08503F7D3AA8}">
      <formula1>0</formula1>
      <formula2>112</formula2>
    </dataValidation>
    <dataValidation type="decimal" operator="greaterThan" allowBlank="1" showInputMessage="1" showErrorMessage="1" errorTitle="Error" error="Please enter cost greater than 0" sqref="H5:H9" xr:uid="{7F01BA0A-4C9F-4461-B84A-E9DAEFD5BCCB}">
      <formula1>0</formula1>
    </dataValidation>
    <dataValidation type="decimal" operator="greaterThanOrEqual" allowBlank="1" showInputMessage="1" showErrorMessage="1" errorTitle="Error" error="Please enter any number greater than or equal to 0" sqref="E5:G9" xr:uid="{0B183A48-4674-47D5-999F-9FB6080BFAA9}">
      <formula1>0</formula1>
    </dataValidation>
  </dataValidations>
  <pageMargins left="0.7" right="0.7" top="0.75" bottom="0.75" header="0.3" footer="0.3"/>
  <ignoredErrors>
    <ignoredError sqref="D31:D32" formulaRange="1"/>
  </ignoredErrors>
  <drawing r:id="rId1"/>
  <legacyDrawing r:id="rId2"/>
  <controls>
    <mc:AlternateContent xmlns:mc="http://schemas.openxmlformats.org/markup-compatibility/2006">
      <mc:Choice Requires="x14">
        <control shapeId="1025" r:id="rId3" name="CmdUpdateDataOnSpreadSheet">
          <controlPr defaultSize="0" autoLine="0" r:id="rId4">
            <anchor moveWithCells="1">
              <from>
                <xdr:col>0</xdr:col>
                <xdr:colOff>1287780</xdr:colOff>
                <xdr:row>4</xdr:row>
                <xdr:rowOff>38100</xdr:rowOff>
              </from>
              <to>
                <xdr:col>1</xdr:col>
                <xdr:colOff>1318260</xdr:colOff>
                <xdr:row>9</xdr:row>
                <xdr:rowOff>45720</xdr:rowOff>
              </to>
            </anchor>
          </controlPr>
        </control>
      </mc:Choice>
      <mc:Fallback>
        <control shapeId="1025" r:id="rId3" name="CmdUpdateDataOnSpread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22004-05A8-4BCD-8D38-BA1560E48FA4}">
  <sheetPr codeName="Sheet4"/>
  <dimension ref="A1:F24"/>
  <sheetViews>
    <sheetView workbookViewId="0">
      <selection activeCell="D13" sqref="D13"/>
    </sheetView>
  </sheetViews>
  <sheetFormatPr defaultRowHeight="14.4" x14ac:dyDescent="0.3"/>
  <cols>
    <col min="1" max="1" width="36.5546875" customWidth="1"/>
    <col min="2" max="2" width="47.109375" customWidth="1"/>
  </cols>
  <sheetData>
    <row r="1" spans="1:6" x14ac:dyDescent="0.3">
      <c r="A1" s="35" t="s">
        <v>9</v>
      </c>
      <c r="B1" s="36"/>
      <c r="C1" s="36"/>
      <c r="D1" s="36"/>
      <c r="E1" s="36"/>
      <c r="F1" s="36"/>
    </row>
    <row r="2" spans="1:6" x14ac:dyDescent="0.3">
      <c r="A2" s="37"/>
      <c r="B2" s="37"/>
      <c r="C2" s="37"/>
      <c r="D2" s="37"/>
      <c r="E2" s="37"/>
      <c r="F2" s="37"/>
    </row>
    <row r="3" spans="1:6" x14ac:dyDescent="0.3">
      <c r="A3" s="37"/>
      <c r="B3" s="38" t="s">
        <v>10</v>
      </c>
      <c r="C3" s="29" t="s">
        <v>14</v>
      </c>
      <c r="D3" s="22">
        <v>31</v>
      </c>
      <c r="E3" s="1" t="s">
        <v>20</v>
      </c>
      <c r="F3" s="1">
        <v>0</v>
      </c>
    </row>
    <row r="4" spans="1:6" x14ac:dyDescent="0.3">
      <c r="A4" s="37" t="s">
        <v>39</v>
      </c>
      <c r="B4" s="38" t="s">
        <v>11</v>
      </c>
      <c r="C4" s="29" t="s">
        <v>15</v>
      </c>
      <c r="D4" s="22">
        <v>0</v>
      </c>
      <c r="E4" s="1" t="s">
        <v>20</v>
      </c>
      <c r="F4" s="1">
        <v>0</v>
      </c>
    </row>
    <row r="5" spans="1:6" x14ac:dyDescent="0.3">
      <c r="A5" s="37"/>
      <c r="B5" s="38" t="s">
        <v>12</v>
      </c>
      <c r="C5" s="29" t="s">
        <v>16</v>
      </c>
      <c r="D5" s="22">
        <v>0</v>
      </c>
      <c r="E5" s="1" t="s">
        <v>20</v>
      </c>
      <c r="F5" s="1">
        <v>0</v>
      </c>
    </row>
    <row r="6" spans="1:6" x14ac:dyDescent="0.3">
      <c r="A6" s="37"/>
      <c r="B6" s="38" t="s">
        <v>13</v>
      </c>
      <c r="C6" s="29" t="s">
        <v>17</v>
      </c>
      <c r="D6" s="22">
        <v>0</v>
      </c>
      <c r="E6" s="1" t="s">
        <v>20</v>
      </c>
      <c r="F6" s="1">
        <v>0</v>
      </c>
    </row>
    <row r="7" spans="1:6" x14ac:dyDescent="0.3">
      <c r="A7" s="37"/>
      <c r="B7" s="38" t="s">
        <v>21</v>
      </c>
      <c r="C7" s="29" t="s">
        <v>18</v>
      </c>
      <c r="D7" s="22">
        <v>35</v>
      </c>
      <c r="E7" s="1" t="s">
        <v>20</v>
      </c>
      <c r="F7" s="1">
        <v>0</v>
      </c>
    </row>
    <row r="8" spans="1:6" x14ac:dyDescent="0.3">
      <c r="A8" s="37"/>
      <c r="B8" s="37"/>
      <c r="C8" s="37"/>
      <c r="D8" s="39"/>
      <c r="E8" s="37"/>
      <c r="F8" s="37"/>
    </row>
    <row r="9" spans="1:6" x14ac:dyDescent="0.3">
      <c r="A9" s="35" t="s">
        <v>19</v>
      </c>
      <c r="B9" s="36"/>
      <c r="C9" s="36"/>
      <c r="D9" s="40"/>
      <c r="E9" s="36"/>
      <c r="F9" s="36"/>
    </row>
    <row r="10" spans="1:6" x14ac:dyDescent="0.3">
      <c r="A10" s="37"/>
      <c r="B10" s="37"/>
      <c r="C10" s="37"/>
      <c r="D10" s="39"/>
      <c r="E10" s="37"/>
      <c r="F10" s="37"/>
    </row>
    <row r="11" spans="1:6" x14ac:dyDescent="0.3">
      <c r="A11" s="41" t="s">
        <v>22</v>
      </c>
      <c r="B11" s="42"/>
      <c r="C11" s="42"/>
      <c r="D11" s="43"/>
      <c r="E11" s="42"/>
      <c r="F11" s="42"/>
    </row>
    <row r="12" spans="1:6" x14ac:dyDescent="0.3">
      <c r="A12" s="44"/>
      <c r="B12" s="37"/>
      <c r="C12" s="37"/>
      <c r="D12" s="39"/>
      <c r="E12" s="37"/>
      <c r="F12" s="37"/>
    </row>
    <row r="13" spans="1:6" x14ac:dyDescent="0.3">
      <c r="A13" s="37"/>
      <c r="B13" s="45" t="s">
        <v>23</v>
      </c>
      <c r="C13" s="29" t="s">
        <v>27</v>
      </c>
      <c r="D13" s="22" t="e">
        <f>SUMPRODUCT(#REF!,D3:D7)</f>
        <v>#REF!</v>
      </c>
      <c r="E13" s="1" t="s">
        <v>26</v>
      </c>
      <c r="F13" s="1" t="e">
        <f>#REF!</f>
        <v>#REF!</v>
      </c>
    </row>
    <row r="14" spans="1:6" x14ac:dyDescent="0.3">
      <c r="A14" s="37"/>
      <c r="B14" s="45" t="s">
        <v>24</v>
      </c>
      <c r="C14" s="29" t="s">
        <v>28</v>
      </c>
      <c r="D14" s="22" t="e">
        <f>SUMPRODUCT(#REF!,D3:D7)</f>
        <v>#REF!</v>
      </c>
      <c r="E14" s="1" t="s">
        <v>26</v>
      </c>
      <c r="F14" s="1" t="e">
        <f>#REF!</f>
        <v>#REF!</v>
      </c>
    </row>
    <row r="15" spans="1:6" x14ac:dyDescent="0.3">
      <c r="A15" s="37"/>
      <c r="B15" s="45" t="s">
        <v>25</v>
      </c>
      <c r="C15" s="29" t="s">
        <v>29</v>
      </c>
      <c r="D15" s="22" t="e">
        <f>SUMPRODUCT(#REF!,D3:D7)</f>
        <v>#REF!</v>
      </c>
      <c r="E15" s="1" t="s">
        <v>26</v>
      </c>
      <c r="F15" s="1" t="e">
        <f>#REF!</f>
        <v>#REF!</v>
      </c>
    </row>
    <row r="16" spans="1:6" x14ac:dyDescent="0.3">
      <c r="A16" s="37"/>
      <c r="B16" s="37"/>
      <c r="C16" s="1"/>
      <c r="D16" s="26"/>
      <c r="E16" s="1"/>
      <c r="F16" s="1"/>
    </row>
    <row r="17" spans="1:6" x14ac:dyDescent="0.3">
      <c r="A17" s="35" t="s">
        <v>30</v>
      </c>
      <c r="B17" s="42"/>
      <c r="C17" s="6"/>
      <c r="D17" s="27"/>
      <c r="E17" s="6"/>
      <c r="F17" s="6"/>
    </row>
    <row r="18" spans="1:6" x14ac:dyDescent="0.3">
      <c r="A18" s="46"/>
      <c r="B18" s="37"/>
      <c r="C18" s="1"/>
      <c r="D18" s="26"/>
      <c r="E18" s="1"/>
      <c r="F18" s="1"/>
    </row>
    <row r="19" spans="1:6" x14ac:dyDescent="0.3">
      <c r="A19" s="37"/>
      <c r="B19" s="45" t="s">
        <v>32</v>
      </c>
      <c r="C19" s="29" t="s">
        <v>34</v>
      </c>
      <c r="D19" s="22">
        <f>SUM(D3:D4)</f>
        <v>31</v>
      </c>
      <c r="E19" s="1" t="s">
        <v>31</v>
      </c>
      <c r="F19" s="18">
        <v>31</v>
      </c>
    </row>
    <row r="20" spans="1:6" x14ac:dyDescent="0.3">
      <c r="A20" s="37"/>
      <c r="B20" s="45" t="s">
        <v>33</v>
      </c>
      <c r="C20" s="29" t="s">
        <v>35</v>
      </c>
      <c r="D20" s="22">
        <f>SUM(D5:D7)</f>
        <v>35</v>
      </c>
      <c r="E20" s="1" t="s">
        <v>31</v>
      </c>
      <c r="F20" s="18">
        <v>35</v>
      </c>
    </row>
    <row r="21" spans="1:6" x14ac:dyDescent="0.3">
      <c r="A21" s="37"/>
      <c r="B21" s="37"/>
      <c r="C21" s="1"/>
      <c r="D21" s="1"/>
      <c r="E21" s="1"/>
      <c r="F21" s="1"/>
    </row>
    <row r="22" spans="1:6" x14ac:dyDescent="0.3">
      <c r="A22" s="35" t="s">
        <v>36</v>
      </c>
      <c r="B22" s="36"/>
      <c r="C22" s="36"/>
      <c r="D22" s="36"/>
      <c r="E22" s="7"/>
      <c r="F22" s="7"/>
    </row>
    <row r="23" spans="1:6" x14ac:dyDescent="0.3">
      <c r="A23" s="46"/>
      <c r="B23" s="42"/>
      <c r="C23" s="37"/>
      <c r="D23" s="37"/>
      <c r="E23" s="1"/>
      <c r="F23" s="1"/>
    </row>
    <row r="24" spans="1:6" x14ac:dyDescent="0.3">
      <c r="A24" s="37"/>
      <c r="B24" s="38" t="s">
        <v>38</v>
      </c>
      <c r="C24" s="15" t="s">
        <v>37</v>
      </c>
      <c r="D24" s="28" t="e">
        <f>SUMPRODUCT(#REF!,D3:D7)</f>
        <v>#REF!</v>
      </c>
      <c r="E24" s="37"/>
      <c r="F24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22</vt:i4>
      </vt:variant>
    </vt:vector>
  </HeadingPairs>
  <TitlesOfParts>
    <vt:vector size="24" baseType="lpstr">
      <vt:lpstr>Sheet1</vt:lpstr>
      <vt:lpstr>Answer Sheet</vt:lpstr>
      <vt:lpstr>Sheet1!DemandA</vt:lpstr>
      <vt:lpstr>Sheet1!DemandB</vt:lpstr>
      <vt:lpstr>Sheet1!DemandConstraintA</vt:lpstr>
      <vt:lpstr>Sheet1!DemandConstraintB</vt:lpstr>
      <vt:lpstr>Sheet1!FinalQuantityA1</vt:lpstr>
      <vt:lpstr>FinalQuantityA1</vt:lpstr>
      <vt:lpstr>Sheet1!FinalQuantityA2</vt:lpstr>
      <vt:lpstr>FinalQuantityB1</vt:lpstr>
      <vt:lpstr>FinalQuantityB2</vt:lpstr>
      <vt:lpstr>FinalQuantityB3</vt:lpstr>
      <vt:lpstr>Sheet1!MachineTimeAvailable1</vt:lpstr>
      <vt:lpstr>Sheet1!MachineTimeAvailable2</vt:lpstr>
      <vt:lpstr>Sheet1!MachineTimeAvailable3</vt:lpstr>
      <vt:lpstr>Sheet1!MachineTimeUtilize1</vt:lpstr>
      <vt:lpstr>Sheet1!MachineTimeUtilize2</vt:lpstr>
      <vt:lpstr>Sheet1!MachineTimeUtilize3</vt:lpstr>
      <vt:lpstr>Sheet1!ObjectiveFunction</vt:lpstr>
      <vt:lpstr>Sheet1!Option1A</vt:lpstr>
      <vt:lpstr>Sheet1!Option1B</vt:lpstr>
      <vt:lpstr>Sheet1!Option2A</vt:lpstr>
      <vt:lpstr>Sheet1!Option2B</vt:lpstr>
      <vt:lpstr>Option3B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M1090</dc:creator>
  <cp:lastModifiedBy>Gourav Nayak</cp:lastModifiedBy>
  <dcterms:created xsi:type="dcterms:W3CDTF">2019-11-12T00:34:58Z</dcterms:created>
  <dcterms:modified xsi:type="dcterms:W3CDTF">2019-12-14T19:43:38Z</dcterms:modified>
</cp:coreProperties>
</file>